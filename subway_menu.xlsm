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nik\Downloads\"/>
    </mc:Choice>
  </mc:AlternateContent>
  <xr:revisionPtr revIDLastSave="0" documentId="13_ncr:1_{95275811-A126-43CE-8A06-52A44B2F6273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User Form" sheetId="1" r:id="rId1"/>
    <sheet name="CaloriesTable" sheetId="2" r:id="rId2"/>
    <sheet name="Ord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6" i="3" l="1"/>
  <c r="Z25" i="3"/>
  <c r="Z24" i="3"/>
  <c r="Z23" i="3"/>
  <c r="Z22" i="3"/>
  <c r="Y26" i="3"/>
  <c r="Y25" i="3"/>
  <c r="Y24" i="3"/>
  <c r="Y23" i="3"/>
  <c r="Y22" i="3"/>
  <c r="Z19" i="3"/>
  <c r="Z18" i="3"/>
  <c r="Z17" i="3"/>
  <c r="Z16" i="3"/>
  <c r="Z15" i="3"/>
  <c r="Z14" i="3"/>
  <c r="Y19" i="3"/>
  <c r="Y18" i="3"/>
  <c r="Y17" i="3"/>
  <c r="Y16" i="3"/>
  <c r="Y15" i="3"/>
  <c r="Y14" i="3"/>
  <c r="Z11" i="3"/>
  <c r="Z10" i="3"/>
  <c r="Z9" i="3"/>
  <c r="Z8" i="3"/>
  <c r="Z7" i="3"/>
  <c r="Y11" i="3"/>
  <c r="Y10" i="3"/>
  <c r="Y9" i="3"/>
  <c r="Y8" i="3"/>
  <c r="Y7" i="3"/>
  <c r="Z4" i="3"/>
  <c r="Z3" i="3"/>
  <c r="Z2" i="3"/>
  <c r="Y4" i="3"/>
  <c r="Y3" i="3"/>
  <c r="Y2" i="3"/>
</calcChain>
</file>

<file path=xl/sharedStrings.xml><?xml version="1.0" encoding="utf-8"?>
<sst xmlns="http://schemas.openxmlformats.org/spreadsheetml/2006/main" count="98" uniqueCount="40">
  <si>
    <t>Lettuce</t>
  </si>
  <si>
    <t>Breads</t>
  </si>
  <si>
    <t>Honey Multigrain</t>
  </si>
  <si>
    <t>White</t>
  </si>
  <si>
    <t>Italian</t>
  </si>
  <si>
    <t>Vegetables</t>
  </si>
  <si>
    <t>Onion</t>
  </si>
  <si>
    <t>Cucumber</t>
  </si>
  <si>
    <t>Tomato</t>
  </si>
  <si>
    <t>Pickle</t>
  </si>
  <si>
    <t>Jalapeno</t>
  </si>
  <si>
    <t>Olive</t>
  </si>
  <si>
    <t>Patty</t>
  </si>
  <si>
    <t>Tofu</t>
  </si>
  <si>
    <t>Potato</t>
  </si>
  <si>
    <t>Grilled Chicken</t>
  </si>
  <si>
    <t>Pork</t>
  </si>
  <si>
    <t>Beef</t>
  </si>
  <si>
    <t>Sauces</t>
  </si>
  <si>
    <t>Hot</t>
  </si>
  <si>
    <t>Mayonaise</t>
  </si>
  <si>
    <t>Mustard</t>
  </si>
  <si>
    <t>Calories</t>
  </si>
  <si>
    <t>per 12 foot</t>
  </si>
  <si>
    <t>per scoop</t>
  </si>
  <si>
    <t>Barbeque</t>
  </si>
  <si>
    <t>Weclome to Subway!!!</t>
  </si>
  <si>
    <t>Menu</t>
  </si>
  <si>
    <t>Tofu Subway</t>
  </si>
  <si>
    <t>Price (FootLong)</t>
  </si>
  <si>
    <t>Potato Subway</t>
  </si>
  <si>
    <t>Grilled Chicken Subway</t>
  </si>
  <si>
    <t>Pork Subway</t>
  </si>
  <si>
    <t>Beef Subway</t>
  </si>
  <si>
    <t>Food Items</t>
  </si>
  <si>
    <t>per serving</t>
  </si>
  <si>
    <t>per footlong</t>
  </si>
  <si>
    <t>Chipotle</t>
  </si>
  <si>
    <t>Total Calories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</si>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</sst>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Arial Rounded MT Bold"/>
      <family val="2"/>
    </font>
    <font>
      <b/>
      <sz val="11"/>
      <color theme="4" tint="-0.249977111117893"/>
      <name val="Arial Black"/>
      <family val="2"/>
    </font>
    <font>
      <b/>
      <sz val="11"/>
      <color theme="1"/>
      <name val="Arial Black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1" fillId="2" borderId="0" xfId="0" applyFont="1" applyFill="1" applyBorder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0" xfId="0" applyFill="1"/>
    <xf numFmtId="0" fontId="0" fillId="3" borderId="0" xfId="0" applyFill="1" applyBorder="1"/>
    <xf numFmtId="0" fontId="2" fillId="3" borderId="0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 applyAlignment="1">
      <alignment horizontal="center"/>
    </xf>
    <xf numFmtId="0" fontId="0" fillId="3" borderId="5" xfId="0" applyFill="1" applyBorder="1"/>
    <xf numFmtId="0" fontId="0" fillId="3" borderId="6" xfId="0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3" fillId="4" borderId="10" xfId="0" applyFont="1" applyFill="1" applyBorder="1"/>
    <xf numFmtId="0" fontId="3" fillId="4" borderId="11" xfId="0" applyFont="1" applyFill="1" applyBorder="1"/>
    <xf numFmtId="0" fontId="4" fillId="5" borderId="9" xfId="0" applyFont="1" applyFill="1" applyBorder="1"/>
    <xf numFmtId="0" fontId="4" fillId="5" borderId="12" xfId="0" applyFont="1" applyFill="1" applyBorder="1"/>
    <xf numFmtId="6" fontId="3" fillId="4" borderId="13" xfId="0" applyNumberFormat="1" applyFont="1" applyFill="1" applyBorder="1"/>
    <xf numFmtId="6" fontId="3" fillId="4" borderId="14" xfId="0" applyNumberFormat="1" applyFont="1" applyFill="1" applyBorder="1"/>
    <xf numFmtId="0" fontId="4" fillId="5" borderId="15" xfId="0" applyFont="1" applyFill="1" applyBorder="1"/>
    <xf numFmtId="0" fontId="3" fillId="4" borderId="16" xfId="0" applyFont="1" applyFill="1" applyBorder="1"/>
    <xf numFmtId="0" fontId="3" fillId="6" borderId="10" xfId="0" applyFont="1" applyFill="1" applyBorder="1"/>
    <xf numFmtId="0" fontId="3" fillId="6" borderId="16" xfId="0" applyFont="1" applyFill="1" applyBorder="1"/>
    <xf numFmtId="0" fontId="5" fillId="4" borderId="10" xfId="0" applyFont="1" applyFill="1" applyBorder="1"/>
    <xf numFmtId="0" fontId="5" fillId="4" borderId="16" xfId="0" applyFont="1" applyFill="1" applyBorder="1"/>
    <xf numFmtId="0" fontId="5" fillId="4" borderId="11" xfId="0" applyFont="1" applyFill="1" applyBorder="1"/>
    <xf numFmtId="0" fontId="5" fillId="4" borderId="17" xfId="0" applyFont="1" applyFill="1" applyBorder="1"/>
    <xf numFmtId="0" fontId="0" fillId="7" borderId="0" xfId="0" applyFill="1"/>
    <xf numFmtId="0" fontId="0" fillId="8" borderId="0" xfId="0" applyFill="1"/>
    <xf numFmtId="0" fontId="1" fillId="0" borderId="18" xfId="0" applyFont="1" applyBorder="1"/>
    <xf numFmtId="0" fontId="1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Bread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Orders!$Y$2:$Y$4</c:f>
              <c:strCache>
                <c:ptCount val="3"/>
                <c:pt idx="0">
                  <c:v>Honey Multigrain</c:v>
                </c:pt>
                <c:pt idx="1">
                  <c:v>White</c:v>
                </c:pt>
                <c:pt idx="2">
                  <c:v>Italian</c:v>
                </c:pt>
              </c:strCache>
            </c:strRef>
          </c:cat>
          <c:val>
            <c:numRef>
              <c:f>Orders!$Z$2:$Z$4</c:f>
              <c:numCache>
                <c:formatCode>General</c:formatCode>
                <c:ptCount val="3"/>
                <c:pt idx="0">
                  <c:v>3</c:v>
                </c:pt>
                <c:pt idx="1">
                  <c:v>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B-4C3D-AF6E-2A435386C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70447"/>
        <c:axId val="23472111"/>
      </c:barChart>
      <c:catAx>
        <c:axId val="23470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2111"/>
        <c:crosses val="autoZero"/>
        <c:auto val="1"/>
        <c:lblAlgn val="ctr"/>
        <c:lblOffset val="100"/>
        <c:noMultiLvlLbl val="0"/>
      </c:catAx>
      <c:valAx>
        <c:axId val="23472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0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Patty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Orders!$Y$7:$Y$11</c:f>
              <c:strCache>
                <c:ptCount val="5"/>
                <c:pt idx="0">
                  <c:v>Tofu</c:v>
                </c:pt>
                <c:pt idx="1">
                  <c:v>Potato</c:v>
                </c:pt>
                <c:pt idx="2">
                  <c:v>Grilled Chicken</c:v>
                </c:pt>
                <c:pt idx="3">
                  <c:v>Pork</c:v>
                </c:pt>
                <c:pt idx="4">
                  <c:v>Beef</c:v>
                </c:pt>
              </c:strCache>
            </c:strRef>
          </c:cat>
          <c:val>
            <c:numRef>
              <c:f>Orders!$Z$7:$Z$11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0-44D3-9E71-569F84700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72527"/>
        <c:axId val="23472943"/>
      </c:barChart>
      <c:catAx>
        <c:axId val="2347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2943"/>
        <c:crosses val="autoZero"/>
        <c:auto val="1"/>
        <c:lblAlgn val="ctr"/>
        <c:lblOffset val="100"/>
        <c:noMultiLvlLbl val="0"/>
      </c:catAx>
      <c:valAx>
        <c:axId val="23472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2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Vegetables Scoop Quantity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Orders!$Y$14:$Y$19</c:f>
              <c:strCache>
                <c:ptCount val="6"/>
                <c:pt idx="0">
                  <c:v>Onion</c:v>
                </c:pt>
                <c:pt idx="1">
                  <c:v>Cucumber</c:v>
                </c:pt>
                <c:pt idx="2">
                  <c:v>Tomato</c:v>
                </c:pt>
                <c:pt idx="3">
                  <c:v>Lettuce</c:v>
                </c:pt>
                <c:pt idx="4">
                  <c:v>Jalapeno</c:v>
                </c:pt>
                <c:pt idx="5">
                  <c:v>Pickle</c:v>
                </c:pt>
              </c:strCache>
            </c:strRef>
          </c:cat>
          <c:val>
            <c:numRef>
              <c:f>Orders!$Z$14:$Z$19</c:f>
              <c:numCache>
                <c:formatCode>General</c:formatCode>
                <c:ptCount val="6"/>
                <c:pt idx="0">
                  <c:v>17</c:v>
                </c:pt>
                <c:pt idx="1">
                  <c:v>18</c:v>
                </c:pt>
                <c:pt idx="2">
                  <c:v>11</c:v>
                </c:pt>
                <c:pt idx="3">
                  <c:v>17</c:v>
                </c:pt>
                <c:pt idx="4">
                  <c:v>13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10-4FE3-BCFA-F658BC3F4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9856143"/>
        <c:axId val="369855311"/>
      </c:barChart>
      <c:catAx>
        <c:axId val="369856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855311"/>
        <c:crosses val="autoZero"/>
        <c:auto val="1"/>
        <c:lblAlgn val="ctr"/>
        <c:lblOffset val="100"/>
        <c:noMultiLvlLbl val="0"/>
      </c:catAx>
      <c:valAx>
        <c:axId val="36985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856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Sauces Scoop Quantity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Orders!$Y$22:$Y$26</c:f>
              <c:strCache>
                <c:ptCount val="5"/>
                <c:pt idx="0">
                  <c:v>Chipotle</c:v>
                </c:pt>
                <c:pt idx="1">
                  <c:v>Hot</c:v>
                </c:pt>
                <c:pt idx="2">
                  <c:v>Mayonaise</c:v>
                </c:pt>
                <c:pt idx="3">
                  <c:v>Mustard</c:v>
                </c:pt>
                <c:pt idx="4">
                  <c:v>Barbeque</c:v>
                </c:pt>
              </c:strCache>
            </c:strRef>
          </c:cat>
          <c:val>
            <c:numRef>
              <c:f>Orders!$Z$22:$Z$26</c:f>
              <c:numCache>
                <c:formatCode>General</c:formatCode>
                <c:ptCount val="5"/>
                <c:pt idx="0">
                  <c:v>16</c:v>
                </c:pt>
                <c:pt idx="1">
                  <c:v>15</c:v>
                </c:pt>
                <c:pt idx="2">
                  <c:v>13</c:v>
                </c:pt>
                <c:pt idx="3">
                  <c:v>19</c:v>
                </c:pt>
                <c:pt idx="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1-4D8A-AE73-E8467749B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9854895"/>
        <c:axId val="369856559"/>
      </c:barChart>
      <c:catAx>
        <c:axId val="369854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856559"/>
        <c:crosses val="autoZero"/>
        <c:auto val="1"/>
        <c:lblAlgn val="ctr"/>
        <c:lblOffset val="100"/>
        <c:noMultiLvlLbl val="0"/>
      </c:catAx>
      <c:valAx>
        <c:axId val="369856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854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85724</xdr:colOff>
      <xdr:row>14</xdr:row>
      <xdr:rowOff>26671</xdr:rowOff>
    </xdr:from>
    <xdr:to>
      <xdr:col>4</xdr:col>
      <xdr:colOff>380999</xdr:colOff>
      <xdr:row>16</xdr:row>
      <xdr:rowOff>129541</xdr:rowOff>
    </xdr:to>
    <xdr:sp macro="[0]!LoadUserForm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4520564" y="1329691"/>
          <a:ext cx="2809875" cy="46863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/>
              </a:solidFill>
              <a:latin typeface="Amasis MT Pro Black" panose="02040A04050005020304" pitchFamily="18" charset="0"/>
            </a:rPr>
            <a:t>Click</a:t>
          </a:r>
          <a:r>
            <a:rPr lang="en-US" sz="1200" b="1" baseline="0">
              <a:solidFill>
                <a:schemeClr val="tx2"/>
              </a:solidFill>
              <a:latin typeface="Amasis MT Pro Black" panose="02040A04050005020304" pitchFamily="18" charset="0"/>
            </a:rPr>
            <a:t> here to place your order</a:t>
          </a:r>
          <a:endParaRPr lang="en-US" sz="1200" b="1">
            <a:solidFill>
              <a:schemeClr val="tx2"/>
            </a:solidFill>
            <a:latin typeface="Amasis MT Pro Black" panose="02040A04050005020304" pitchFamily="18" charset="0"/>
          </a:endParaRPr>
        </a:p>
      </xdr:txBody>
    </xdr:sp>
    <xdr:clientData/>
  </xdr:twoCellAnchor>
  <xdr:twoCellAnchor editAs="oneCell">
    <xdr:from>
      <xdr:col>6</xdr:col>
      <xdr:colOff>528320</xdr:colOff>
      <xdr:row>7</xdr:row>
      <xdr:rowOff>232408</xdr:rowOff>
    </xdr:from>
    <xdr:to>
      <xdr:col>8</xdr:col>
      <xdr:colOff>1524000</xdr:colOff>
      <xdr:row>20</xdr:row>
      <xdr:rowOff>149754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7195" y="1823083"/>
          <a:ext cx="3538855" cy="266054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259080</xdr:colOff>
      <xdr:row>4</xdr:row>
      <xdr:rowOff>167640</xdr:rowOff>
    </xdr:from>
    <xdr:to>
      <xdr:col>3</xdr:col>
      <xdr:colOff>2004060</xdr:colOff>
      <xdr:row>12</xdr:row>
      <xdr:rowOff>137160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2980" y="1188720"/>
          <a:ext cx="1744980" cy="17449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518160</xdr:colOff>
      <xdr:row>18</xdr:row>
      <xdr:rowOff>0</xdr:rowOff>
    </xdr:from>
    <xdr:to>
      <xdr:col>3</xdr:col>
      <xdr:colOff>2346960</xdr:colOff>
      <xdr:row>22</xdr:row>
      <xdr:rowOff>144780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5060" y="4114800"/>
          <a:ext cx="2438400" cy="93726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196850</xdr:colOff>
          <xdr:row>12</xdr:row>
          <xdr:rowOff>76200</xdr:rowOff>
        </xdr:from>
        <xdr:to>
          <xdr:col>22</xdr:col>
          <xdr:colOff>527050</xdr:colOff>
          <xdr:row>14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476250</xdr:colOff>
      <xdr:row>0</xdr:row>
      <xdr:rowOff>127000</xdr:rowOff>
    </xdr:from>
    <xdr:to>
      <xdr:col>36</xdr:col>
      <xdr:colOff>171450</xdr:colOff>
      <xdr:row>15</xdr:row>
      <xdr:rowOff>107950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0C3499C-D053-C174-83B9-1BEB4D0A3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476250</xdr:colOff>
      <xdr:row>20</xdr:row>
      <xdr:rowOff>127000</xdr:rowOff>
    </xdr:from>
    <xdr:to>
      <xdr:col>36</xdr:col>
      <xdr:colOff>171450</xdr:colOff>
      <xdr:row>35</xdr:row>
      <xdr:rowOff>107950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82886CA-ADC8-690B-711E-4E907C55C2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69850</xdr:colOff>
      <xdr:row>0</xdr:row>
      <xdr:rowOff>127000</xdr:rowOff>
    </xdr:from>
    <xdr:to>
      <xdr:col>44</xdr:col>
      <xdr:colOff>374650</xdr:colOff>
      <xdr:row>15</xdr:row>
      <xdr:rowOff>107950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C5E0BC1-8CD3-ECF2-A490-F305BC6F8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69850</xdr:colOff>
      <xdr:row>20</xdr:row>
      <xdr:rowOff>127000</xdr:rowOff>
    </xdr:from>
    <xdr:to>
      <xdr:col>44</xdr:col>
      <xdr:colOff>374650</xdr:colOff>
      <xdr:row>35</xdr:row>
      <xdr:rowOff>107950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C214B6C-99EC-EB0C-15C3-BADCB27AB1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9"/>
  <sheetViews>
    <sheetView showGridLines="0" tabSelected="1" zoomScale="53" zoomScaleNormal="80" workbookViewId="0">
      <selection activeCell="D18" sqref="D18"/>
    </sheetView>
  </sheetViews>
  <sheetFormatPr defaultColWidth="8.90625" defaultRowHeight="14.5" x14ac:dyDescent="0.35"/>
  <cols>
    <col min="1" max="1" width="15" style="4" bestFit="1" customWidth="1"/>
    <col min="2" max="2" width="12.1796875" style="4" bestFit="1" customWidth="1"/>
    <col min="3" max="3" width="8.90625" style="5" customWidth="1"/>
    <col min="4" max="4" width="34.453125" style="5" customWidth="1"/>
    <col min="5" max="5" width="19.90625" style="5" customWidth="1"/>
    <col min="6" max="6" width="0.54296875" style="5" customWidth="1"/>
    <col min="7" max="7" width="8.81640625" style="5" customWidth="1"/>
    <col min="8" max="8" width="28.36328125" style="5" customWidth="1"/>
    <col min="9" max="9" width="22.54296875" style="5" customWidth="1"/>
    <col min="10" max="10" width="19.90625" style="5" bestFit="1" customWidth="1"/>
    <col min="11" max="11" width="19.81640625" style="5" bestFit="1" customWidth="1"/>
    <col min="12" max="12" width="15.08984375" style="5" customWidth="1"/>
    <col min="13" max="16384" width="8.90625" style="5"/>
  </cols>
  <sheetData>
    <row r="1" spans="1:12" ht="15" thickBot="1" x14ac:dyDescent="0.4">
      <c r="A1" s="3"/>
      <c r="B1" s="5"/>
    </row>
    <row r="2" spans="1:12" ht="17" x14ac:dyDescent="0.5">
      <c r="A2" s="3"/>
      <c r="B2" s="8"/>
      <c r="C2" s="9"/>
      <c r="D2" s="9"/>
      <c r="E2" s="9"/>
      <c r="F2" s="10"/>
      <c r="H2" s="18" t="s">
        <v>27</v>
      </c>
      <c r="I2" s="19" t="s">
        <v>29</v>
      </c>
      <c r="K2" s="18" t="s">
        <v>34</v>
      </c>
      <c r="L2" s="22" t="s">
        <v>22</v>
      </c>
    </row>
    <row r="3" spans="1:12" ht="23.4" customHeight="1" x14ac:dyDescent="0.55000000000000004">
      <c r="A3" s="3"/>
      <c r="B3" s="11"/>
      <c r="C3" s="6"/>
      <c r="D3" s="7" t="s">
        <v>26</v>
      </c>
      <c r="E3" s="6"/>
      <c r="F3" s="12"/>
      <c r="H3" s="16" t="s">
        <v>28</v>
      </c>
      <c r="I3" s="20">
        <v>10</v>
      </c>
      <c r="K3" s="24" t="s">
        <v>1</v>
      </c>
      <c r="L3" s="25" t="s">
        <v>36</v>
      </c>
    </row>
    <row r="4" spans="1:12" ht="18" customHeight="1" thickBot="1" x14ac:dyDescent="0.55000000000000004">
      <c r="A4" s="3"/>
      <c r="B4" s="13"/>
      <c r="C4" s="14"/>
      <c r="D4" s="14"/>
      <c r="E4" s="14"/>
      <c r="F4" s="15"/>
      <c r="H4" s="16" t="s">
        <v>30</v>
      </c>
      <c r="I4" s="20">
        <v>8</v>
      </c>
      <c r="K4" s="26" t="s">
        <v>2</v>
      </c>
      <c r="L4" s="27">
        <v>100</v>
      </c>
    </row>
    <row r="5" spans="1:12" ht="18" customHeight="1" x14ac:dyDescent="0.5">
      <c r="C5" s="4"/>
      <c r="H5" s="16" t="s">
        <v>31</v>
      </c>
      <c r="I5" s="20">
        <v>10</v>
      </c>
      <c r="K5" s="26" t="s">
        <v>3</v>
      </c>
      <c r="L5" s="27">
        <v>130</v>
      </c>
    </row>
    <row r="6" spans="1:12" ht="16.75" customHeight="1" x14ac:dyDescent="0.5">
      <c r="A6" s="5"/>
      <c r="B6" s="5"/>
      <c r="H6" s="16" t="s">
        <v>32</v>
      </c>
      <c r="I6" s="20">
        <v>10</v>
      </c>
      <c r="K6" s="26" t="s">
        <v>4</v>
      </c>
      <c r="L6" s="27">
        <v>120</v>
      </c>
    </row>
    <row r="7" spans="1:12" ht="17.399999999999999" customHeight="1" thickBot="1" x14ac:dyDescent="0.55000000000000004">
      <c r="A7" s="5"/>
      <c r="B7" s="5"/>
      <c r="H7" s="17" t="s">
        <v>33</v>
      </c>
      <c r="I7" s="21">
        <v>10</v>
      </c>
      <c r="K7" s="16"/>
      <c r="L7" s="23"/>
    </row>
    <row r="8" spans="1:12" ht="25.75" customHeight="1" x14ac:dyDescent="0.5">
      <c r="A8" s="5"/>
      <c r="B8" s="5"/>
      <c r="K8" s="24" t="s">
        <v>5</v>
      </c>
      <c r="L8" s="25" t="s">
        <v>35</v>
      </c>
    </row>
    <row r="9" spans="1:12" ht="15.5" x14ac:dyDescent="0.35">
      <c r="A9" s="5"/>
      <c r="B9" s="5"/>
      <c r="K9" s="26" t="s">
        <v>6</v>
      </c>
      <c r="L9" s="27">
        <v>2</v>
      </c>
    </row>
    <row r="10" spans="1:12" ht="15.5" x14ac:dyDescent="0.35">
      <c r="B10" s="5"/>
      <c r="K10" s="26" t="s">
        <v>7</v>
      </c>
      <c r="L10" s="27">
        <v>2</v>
      </c>
    </row>
    <row r="11" spans="1:12" ht="15.5" x14ac:dyDescent="0.35">
      <c r="B11" s="5"/>
      <c r="K11" s="26" t="s">
        <v>8</v>
      </c>
      <c r="L11" s="27">
        <v>3</v>
      </c>
    </row>
    <row r="12" spans="1:12" ht="15" customHeight="1" x14ac:dyDescent="0.35">
      <c r="B12" s="5"/>
      <c r="K12" s="26" t="s">
        <v>0</v>
      </c>
      <c r="L12" s="27">
        <v>3</v>
      </c>
    </row>
    <row r="13" spans="1:12" ht="15" customHeight="1" x14ac:dyDescent="0.35">
      <c r="B13" s="5"/>
      <c r="K13" s="26" t="s">
        <v>11</v>
      </c>
      <c r="L13" s="27">
        <v>3.5</v>
      </c>
    </row>
    <row r="14" spans="1:12" ht="15.5" x14ac:dyDescent="0.35">
      <c r="B14" s="5"/>
      <c r="C14" s="4"/>
      <c r="D14" s="4"/>
      <c r="K14" s="26" t="s">
        <v>10</v>
      </c>
      <c r="L14" s="27">
        <v>2.2999999999999998</v>
      </c>
    </row>
    <row r="15" spans="1:12" ht="15.5" x14ac:dyDescent="0.35">
      <c r="A15" s="3"/>
      <c r="B15" s="5"/>
      <c r="C15" s="4"/>
      <c r="D15" s="4"/>
      <c r="E15" s="4"/>
      <c r="K15" s="26" t="s">
        <v>9</v>
      </c>
      <c r="L15" s="27">
        <v>4.5</v>
      </c>
    </row>
    <row r="16" spans="1:12" ht="17" x14ac:dyDescent="0.5">
      <c r="B16" s="5"/>
      <c r="C16" s="4"/>
      <c r="D16" s="4"/>
      <c r="E16" s="4"/>
      <c r="K16" s="16"/>
      <c r="L16" s="23"/>
    </row>
    <row r="17" spans="1:12" ht="17" x14ac:dyDescent="0.5">
      <c r="B17" s="5"/>
      <c r="C17" s="4"/>
      <c r="D17" s="4"/>
      <c r="E17" s="4"/>
      <c r="K17" s="24" t="s">
        <v>12</v>
      </c>
      <c r="L17" s="25" t="s">
        <v>24</v>
      </c>
    </row>
    <row r="18" spans="1:12" ht="15.5" x14ac:dyDescent="0.35">
      <c r="B18" s="5"/>
      <c r="C18" s="4"/>
      <c r="D18" s="4"/>
      <c r="E18" s="4"/>
      <c r="K18" s="26" t="s">
        <v>13</v>
      </c>
      <c r="L18" s="27">
        <v>35</v>
      </c>
    </row>
    <row r="19" spans="1:12" ht="15.5" x14ac:dyDescent="0.35">
      <c r="B19" s="5"/>
      <c r="K19" s="26" t="s">
        <v>14</v>
      </c>
      <c r="L19" s="27">
        <v>50</v>
      </c>
    </row>
    <row r="20" spans="1:12" ht="15.5" x14ac:dyDescent="0.35">
      <c r="A20" s="5"/>
      <c r="B20" s="5"/>
      <c r="K20" s="26" t="s">
        <v>15</v>
      </c>
      <c r="L20" s="27">
        <v>55</v>
      </c>
    </row>
    <row r="21" spans="1:12" ht="15.5" x14ac:dyDescent="0.35">
      <c r="A21" s="5"/>
      <c r="B21" s="5"/>
      <c r="K21" s="26" t="s">
        <v>16</v>
      </c>
      <c r="L21" s="27">
        <v>62</v>
      </c>
    </row>
    <row r="22" spans="1:12" ht="15.5" x14ac:dyDescent="0.35">
      <c r="A22" s="5"/>
      <c r="B22" s="5"/>
      <c r="K22" s="26" t="s">
        <v>17</v>
      </c>
      <c r="L22" s="27">
        <v>65</v>
      </c>
    </row>
    <row r="23" spans="1:12" ht="17" x14ac:dyDescent="0.5">
      <c r="A23" s="5"/>
      <c r="B23" s="5"/>
      <c r="K23" s="16"/>
      <c r="L23" s="23"/>
    </row>
    <row r="24" spans="1:12" ht="17" x14ac:dyDescent="0.5">
      <c r="K24" s="24" t="s">
        <v>18</v>
      </c>
      <c r="L24" s="25" t="s">
        <v>24</v>
      </c>
    </row>
    <row r="25" spans="1:12" ht="15.5" x14ac:dyDescent="0.35">
      <c r="K25" s="26" t="s">
        <v>37</v>
      </c>
      <c r="L25" s="27">
        <v>7</v>
      </c>
    </row>
    <row r="26" spans="1:12" ht="15.5" x14ac:dyDescent="0.35">
      <c r="A26" s="2"/>
      <c r="B26" s="2"/>
      <c r="K26" s="26" t="s">
        <v>19</v>
      </c>
      <c r="L26" s="27">
        <v>8</v>
      </c>
    </row>
    <row r="27" spans="1:12" ht="15.5" x14ac:dyDescent="0.35">
      <c r="K27" s="26" t="s">
        <v>20</v>
      </c>
      <c r="L27" s="27">
        <v>12</v>
      </c>
    </row>
    <row r="28" spans="1:12" ht="15.5" x14ac:dyDescent="0.35">
      <c r="K28" s="26" t="s">
        <v>21</v>
      </c>
      <c r="L28" s="27">
        <v>11.5</v>
      </c>
    </row>
    <row r="29" spans="1:12" ht="16" thickBot="1" x14ac:dyDescent="0.4">
      <c r="K29" s="28" t="s">
        <v>25</v>
      </c>
      <c r="L29" s="29">
        <v>10</v>
      </c>
    </row>
  </sheetData>
  <sortState xmlns:xlrd2="http://schemas.microsoft.com/office/spreadsheetml/2017/richdata2" ref="C15">
    <sortCondition ref="C15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8185-C84C-41C5-A54C-9FF54971EB2E}">
  <sheetPr codeName="Sheet2"/>
  <dimension ref="A1:B30"/>
  <sheetViews>
    <sheetView workbookViewId="0">
      <selection activeCell="A3" sqref="A3"/>
    </sheetView>
  </sheetViews>
  <sheetFormatPr defaultRowHeight="14.5" x14ac:dyDescent="0.35"/>
  <cols>
    <col min="1" max="1" width="15" bestFit="1" customWidth="1"/>
    <col min="2" max="2" width="12.1796875" bestFit="1" customWidth="1"/>
  </cols>
  <sheetData>
    <row r="1" spans="1:2" x14ac:dyDescent="0.35">
      <c r="B1" s="1" t="s">
        <v>22</v>
      </c>
    </row>
    <row r="2" spans="1:2" x14ac:dyDescent="0.35">
      <c r="A2" s="1" t="s">
        <v>1</v>
      </c>
      <c r="B2" s="1" t="s">
        <v>23</v>
      </c>
    </row>
    <row r="3" spans="1:2" x14ac:dyDescent="0.35">
      <c r="A3" t="s">
        <v>2</v>
      </c>
      <c r="B3">
        <v>100</v>
      </c>
    </row>
    <row r="4" spans="1:2" x14ac:dyDescent="0.35">
      <c r="A4" t="s">
        <v>3</v>
      </c>
      <c r="B4">
        <v>130</v>
      </c>
    </row>
    <row r="5" spans="1:2" x14ac:dyDescent="0.35">
      <c r="A5" t="s">
        <v>4</v>
      </c>
      <c r="B5">
        <v>120</v>
      </c>
    </row>
    <row r="8" spans="1:2" x14ac:dyDescent="0.35">
      <c r="A8" s="1" t="s">
        <v>5</v>
      </c>
      <c r="B8" s="1" t="s">
        <v>24</v>
      </c>
    </row>
    <row r="9" spans="1:2" x14ac:dyDescent="0.35">
      <c r="A9" t="s">
        <v>6</v>
      </c>
      <c r="B9">
        <v>2</v>
      </c>
    </row>
    <row r="10" spans="1:2" x14ac:dyDescent="0.35">
      <c r="A10" t="s">
        <v>7</v>
      </c>
      <c r="B10">
        <v>2</v>
      </c>
    </row>
    <row r="11" spans="1:2" x14ac:dyDescent="0.35">
      <c r="A11" t="s">
        <v>8</v>
      </c>
      <c r="B11">
        <v>3</v>
      </c>
    </row>
    <row r="12" spans="1:2" x14ac:dyDescent="0.35">
      <c r="A12" t="s">
        <v>0</v>
      </c>
      <c r="B12">
        <v>3</v>
      </c>
    </row>
    <row r="13" spans="1:2" x14ac:dyDescent="0.35">
      <c r="A13" t="s">
        <v>10</v>
      </c>
      <c r="B13">
        <v>2.2999999999999998</v>
      </c>
    </row>
    <row r="14" spans="1:2" x14ac:dyDescent="0.35">
      <c r="A14" t="s">
        <v>9</v>
      </c>
      <c r="B14">
        <v>4.5</v>
      </c>
    </row>
    <row r="17" spans="1:2" x14ac:dyDescent="0.35">
      <c r="A17" s="1" t="s">
        <v>12</v>
      </c>
      <c r="B17" s="1" t="s">
        <v>24</v>
      </c>
    </row>
    <row r="18" spans="1:2" x14ac:dyDescent="0.35">
      <c r="A18" t="s">
        <v>13</v>
      </c>
      <c r="B18">
        <v>35</v>
      </c>
    </row>
    <row r="19" spans="1:2" x14ac:dyDescent="0.35">
      <c r="A19" t="s">
        <v>14</v>
      </c>
      <c r="B19">
        <v>50</v>
      </c>
    </row>
    <row r="20" spans="1:2" x14ac:dyDescent="0.35">
      <c r="A20" t="s">
        <v>15</v>
      </c>
      <c r="B20">
        <v>55</v>
      </c>
    </row>
    <row r="21" spans="1:2" x14ac:dyDescent="0.35">
      <c r="A21" t="s">
        <v>16</v>
      </c>
      <c r="B21">
        <v>62</v>
      </c>
    </row>
    <row r="22" spans="1:2" x14ac:dyDescent="0.35">
      <c r="A22" t="s">
        <v>17</v>
      </c>
      <c r="B22">
        <v>65</v>
      </c>
    </row>
    <row r="25" spans="1:2" x14ac:dyDescent="0.35">
      <c r="A25" s="1" t="s">
        <v>18</v>
      </c>
      <c r="B25" s="1" t="s">
        <v>24</v>
      </c>
    </row>
    <row r="26" spans="1:2" x14ac:dyDescent="0.35">
      <c r="A26" t="s">
        <v>37</v>
      </c>
      <c r="B26">
        <v>7</v>
      </c>
    </row>
    <row r="27" spans="1:2" x14ac:dyDescent="0.35">
      <c r="A27" t="s">
        <v>19</v>
      </c>
      <c r="B27">
        <v>8</v>
      </c>
    </row>
    <row r="28" spans="1:2" x14ac:dyDescent="0.35">
      <c r="A28" t="s">
        <v>20</v>
      </c>
      <c r="B28">
        <v>12</v>
      </c>
    </row>
    <row r="29" spans="1:2" x14ac:dyDescent="0.35">
      <c r="A29" t="s">
        <v>21</v>
      </c>
      <c r="B29">
        <v>11.5</v>
      </c>
    </row>
    <row r="30" spans="1:2" x14ac:dyDescent="0.35">
      <c r="A30" t="s">
        <v>25</v>
      </c>
      <c r="B30">
        <v>10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5391-3A83-4F05-BF0D-6FCE25ADDFA1}">
  <sheetPr codeName="Sheet3"/>
  <dimension ref="A1:Z26"/>
  <sheetViews>
    <sheetView topLeftCell="W1" workbookViewId="0">
      <selection activeCell="Z22" sqref="Z22"/>
    </sheetView>
  </sheetViews>
  <sheetFormatPr defaultRowHeight="14.5" x14ac:dyDescent="0.35"/>
  <cols>
    <col min="1" max="1" width="15" bestFit="1" customWidth="1"/>
    <col min="6" max="6" width="13.08984375" bestFit="1" customWidth="1"/>
    <col min="17" max="17" width="9.90625" bestFit="1" customWidth="1"/>
    <col min="20" max="20" width="12.1796875" bestFit="1" customWidth="1"/>
    <col min="25" max="25" width="15" bestFit="1" customWidth="1"/>
  </cols>
  <sheetData>
    <row r="1" spans="1:26" x14ac:dyDescent="0.35">
      <c r="A1" s="38" t="s">
        <v>1</v>
      </c>
      <c r="B1" s="38"/>
      <c r="C1" s="38"/>
      <c r="D1" s="39" t="s">
        <v>12</v>
      </c>
      <c r="E1" s="39"/>
      <c r="F1" s="39"/>
      <c r="G1" s="39"/>
      <c r="H1" s="39"/>
      <c r="I1" s="38" t="s">
        <v>5</v>
      </c>
      <c r="J1" s="38"/>
      <c r="K1" s="38"/>
      <c r="L1" s="38"/>
      <c r="M1" s="38"/>
      <c r="N1" s="38"/>
      <c r="O1" s="39" t="s">
        <v>18</v>
      </c>
      <c r="P1" s="39"/>
      <c r="Q1" s="39"/>
      <c r="R1" s="39"/>
      <c r="S1" s="39"/>
      <c r="T1" s="40" t="s">
        <v>38</v>
      </c>
      <c r="Y1" s="32" t="s">
        <v>1</v>
      </c>
      <c r="Z1" s="33" t="s">
        <v>39</v>
      </c>
    </row>
    <row r="2" spans="1:26" x14ac:dyDescent="0.35">
      <c r="A2" s="30" t="s">
        <v>2</v>
      </c>
      <c r="B2" s="30" t="s">
        <v>3</v>
      </c>
      <c r="C2" s="30" t="s">
        <v>4</v>
      </c>
      <c r="D2" s="31" t="s">
        <v>13</v>
      </c>
      <c r="E2" s="31" t="s">
        <v>14</v>
      </c>
      <c r="F2" s="31" t="s">
        <v>15</v>
      </c>
      <c r="G2" s="31" t="s">
        <v>16</v>
      </c>
      <c r="H2" s="31" t="s">
        <v>17</v>
      </c>
      <c r="I2" s="30" t="s">
        <v>6</v>
      </c>
      <c r="J2" s="30" t="s">
        <v>7</v>
      </c>
      <c r="K2" s="30" t="s">
        <v>8</v>
      </c>
      <c r="L2" s="30" t="s">
        <v>0</v>
      </c>
      <c r="M2" s="30" t="s">
        <v>10</v>
      </c>
      <c r="N2" s="30" t="s">
        <v>9</v>
      </c>
      <c r="O2" s="31" t="s">
        <v>37</v>
      </c>
      <c r="P2" s="31" t="s">
        <v>19</v>
      </c>
      <c r="Q2" s="31" t="s">
        <v>20</v>
      </c>
      <c r="R2" s="31" t="s">
        <v>21</v>
      </c>
      <c r="S2" s="31" t="s">
        <v>25</v>
      </c>
      <c r="T2" s="40"/>
      <c r="Y2" s="34" t="str">
        <f>A2</f>
        <v>Honey Multigrain</v>
      </c>
      <c r="Z2" s="35">
        <f>SUM(A3:A10000)</f>
        <v>3</v>
      </c>
    </row>
    <row r="3" spans="1:26" x14ac:dyDescent="0.35">
      <c r="A3">
        <v>1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v>1</v>
      </c>
      <c r="J3">
        <v>2</v>
      </c>
      <c r="K3">
        <v>1</v>
      </c>
      <c r="L3">
        <v>1</v>
      </c>
      <c r="M3">
        <v>2</v>
      </c>
      <c r="N3">
        <v>1</v>
      </c>
      <c r="O3">
        <v>2</v>
      </c>
      <c r="P3">
        <v>2</v>
      </c>
      <c r="Q3">
        <v>2</v>
      </c>
      <c r="R3">
        <v>2</v>
      </c>
      <c r="S3">
        <v>1</v>
      </c>
      <c r="T3">
        <v>258.10000000000002</v>
      </c>
      <c r="Y3" s="34" t="str">
        <f>B2</f>
        <v>White</v>
      </c>
      <c r="Z3" s="35">
        <f>SUM(B3:B10000)</f>
        <v>9</v>
      </c>
    </row>
    <row r="4" spans="1:26" x14ac:dyDescent="0.35">
      <c r="A4">
        <v>0</v>
      </c>
      <c r="B4">
        <v>1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v>1</v>
      </c>
      <c r="J4">
        <v>2</v>
      </c>
      <c r="K4">
        <v>1</v>
      </c>
      <c r="L4">
        <v>1</v>
      </c>
      <c r="M4">
        <v>2</v>
      </c>
      <c r="N4">
        <v>1</v>
      </c>
      <c r="O4">
        <v>2</v>
      </c>
      <c r="P4">
        <v>2</v>
      </c>
      <c r="Q4">
        <v>2</v>
      </c>
      <c r="R4">
        <v>2</v>
      </c>
      <c r="S4">
        <v>1</v>
      </c>
      <c r="T4">
        <v>288.10000000000002</v>
      </c>
      <c r="Y4" s="36" t="str">
        <f>C2</f>
        <v>Italian</v>
      </c>
      <c r="Z4" s="37">
        <f>SUM(C3:C10000)</f>
        <v>5</v>
      </c>
    </row>
    <row r="5" spans="1:26" x14ac:dyDescent="0.35">
      <c r="A5">
        <v>0</v>
      </c>
      <c r="B5">
        <v>1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>
        <v>1</v>
      </c>
      <c r="J5">
        <v>1</v>
      </c>
      <c r="K5">
        <v>2</v>
      </c>
      <c r="L5">
        <v>1</v>
      </c>
      <c r="M5">
        <v>2</v>
      </c>
      <c r="N5">
        <v>1</v>
      </c>
      <c r="O5">
        <v>1</v>
      </c>
      <c r="P5">
        <v>2</v>
      </c>
      <c r="Q5">
        <v>2</v>
      </c>
      <c r="R5">
        <v>1</v>
      </c>
      <c r="S5">
        <v>1</v>
      </c>
      <c r="T5">
        <v>282.60000000000002</v>
      </c>
    </row>
    <row r="6" spans="1:26" x14ac:dyDescent="0.35">
      <c r="A6">
        <v>0</v>
      </c>
      <c r="B6">
        <v>1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>
        <v>1</v>
      </c>
      <c r="J6">
        <v>1</v>
      </c>
      <c r="K6">
        <v>2</v>
      </c>
      <c r="L6">
        <v>1</v>
      </c>
      <c r="M6">
        <v>2</v>
      </c>
      <c r="N6">
        <v>1</v>
      </c>
      <c r="O6">
        <v>1</v>
      </c>
      <c r="P6">
        <v>2</v>
      </c>
      <c r="Q6">
        <v>2</v>
      </c>
      <c r="R6">
        <v>1</v>
      </c>
      <c r="S6">
        <v>1</v>
      </c>
      <c r="T6">
        <v>282.60000000000002</v>
      </c>
      <c r="Y6" s="32" t="s">
        <v>12</v>
      </c>
      <c r="Z6" s="33" t="s">
        <v>39</v>
      </c>
    </row>
    <row r="7" spans="1:26" x14ac:dyDescent="0.35">
      <c r="A7">
        <v>1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v>1</v>
      </c>
      <c r="J7">
        <v>1</v>
      </c>
      <c r="K7">
        <v>2</v>
      </c>
      <c r="L7">
        <v>1</v>
      </c>
      <c r="M7">
        <v>2</v>
      </c>
      <c r="N7">
        <v>1</v>
      </c>
      <c r="O7">
        <v>1</v>
      </c>
      <c r="P7">
        <v>2</v>
      </c>
      <c r="Q7">
        <v>2</v>
      </c>
      <c r="R7">
        <v>1</v>
      </c>
      <c r="S7">
        <v>1</v>
      </c>
      <c r="T7">
        <v>240.6</v>
      </c>
      <c r="Y7" s="34" t="str">
        <f>D2</f>
        <v>Tofu</v>
      </c>
      <c r="Z7" s="35">
        <f>SUM(D3:D10000)</f>
        <v>4</v>
      </c>
    </row>
    <row r="8" spans="1:26" x14ac:dyDescent="0.35">
      <c r="A8">
        <v>0</v>
      </c>
      <c r="B8">
        <v>0</v>
      </c>
      <c r="C8">
        <v>1</v>
      </c>
      <c r="D8">
        <v>1</v>
      </c>
      <c r="E8">
        <v>0</v>
      </c>
      <c r="F8">
        <v>0</v>
      </c>
      <c r="G8">
        <v>0</v>
      </c>
      <c r="H8">
        <v>0</v>
      </c>
      <c r="I8">
        <v>1</v>
      </c>
      <c r="J8">
        <v>1</v>
      </c>
      <c r="K8">
        <v>0</v>
      </c>
      <c r="L8">
        <v>1</v>
      </c>
      <c r="M8">
        <v>0</v>
      </c>
      <c r="N8">
        <v>1</v>
      </c>
      <c r="O8">
        <v>1</v>
      </c>
      <c r="P8">
        <v>0</v>
      </c>
      <c r="Q8">
        <v>0</v>
      </c>
      <c r="R8">
        <v>1</v>
      </c>
      <c r="S8">
        <v>1</v>
      </c>
      <c r="T8">
        <v>195</v>
      </c>
      <c r="Y8" s="34" t="str">
        <f>E2</f>
        <v>Potato</v>
      </c>
      <c r="Z8" s="35">
        <f>SUM(E3:E10000)</f>
        <v>5</v>
      </c>
    </row>
    <row r="9" spans="1:26" x14ac:dyDescent="0.35">
      <c r="A9">
        <v>0</v>
      </c>
      <c r="B9">
        <v>0</v>
      </c>
      <c r="C9">
        <v>1</v>
      </c>
      <c r="D9">
        <v>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0</v>
      </c>
      <c r="L9">
        <v>1</v>
      </c>
      <c r="M9">
        <v>0</v>
      </c>
      <c r="N9">
        <v>1</v>
      </c>
      <c r="O9">
        <v>1</v>
      </c>
      <c r="P9">
        <v>0</v>
      </c>
      <c r="Q9">
        <v>0</v>
      </c>
      <c r="R9">
        <v>1</v>
      </c>
      <c r="S9">
        <v>1</v>
      </c>
      <c r="T9">
        <v>195</v>
      </c>
      <c r="Y9" s="34" t="str">
        <f>F2</f>
        <v>Grilled Chicken</v>
      </c>
      <c r="Z9" s="35">
        <f>SUM(F3:F10000)</f>
        <v>2</v>
      </c>
    </row>
    <row r="10" spans="1:26" x14ac:dyDescent="0.35">
      <c r="A10">
        <v>0</v>
      </c>
      <c r="B10">
        <v>1</v>
      </c>
      <c r="C10">
        <v>0</v>
      </c>
      <c r="D10">
        <v>1</v>
      </c>
      <c r="E10">
        <v>0</v>
      </c>
      <c r="F10">
        <v>0</v>
      </c>
      <c r="G10">
        <v>0</v>
      </c>
      <c r="H10">
        <v>0</v>
      </c>
      <c r="I10">
        <v>1</v>
      </c>
      <c r="J10">
        <v>2</v>
      </c>
      <c r="K10">
        <v>0</v>
      </c>
      <c r="L10">
        <v>1</v>
      </c>
      <c r="M10">
        <v>0</v>
      </c>
      <c r="N10">
        <v>1</v>
      </c>
      <c r="O10">
        <v>1</v>
      </c>
      <c r="P10">
        <v>0</v>
      </c>
      <c r="Q10">
        <v>0</v>
      </c>
      <c r="R10">
        <v>1</v>
      </c>
      <c r="S10">
        <v>0</v>
      </c>
      <c r="T10">
        <v>197</v>
      </c>
      <c r="Y10" s="34" t="str">
        <f>G2</f>
        <v>Pork</v>
      </c>
      <c r="Z10" s="35">
        <f>SUM(G3:G10000)</f>
        <v>3</v>
      </c>
    </row>
    <row r="11" spans="1:26" x14ac:dyDescent="0.35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1</v>
      </c>
      <c r="I11">
        <v>1</v>
      </c>
      <c r="J11">
        <v>2</v>
      </c>
      <c r="K11">
        <v>0</v>
      </c>
      <c r="L11">
        <v>1</v>
      </c>
      <c r="M11">
        <v>0</v>
      </c>
      <c r="N11">
        <v>1</v>
      </c>
      <c r="O11">
        <v>1</v>
      </c>
      <c r="P11">
        <v>0</v>
      </c>
      <c r="Q11">
        <v>0</v>
      </c>
      <c r="R11">
        <v>1</v>
      </c>
      <c r="S11">
        <v>0</v>
      </c>
      <c r="T11">
        <v>197</v>
      </c>
      <c r="Y11" s="36" t="str">
        <f>H2</f>
        <v>Beef</v>
      </c>
      <c r="Z11" s="37">
        <f>SUM(H3:H10000)</f>
        <v>3</v>
      </c>
    </row>
    <row r="12" spans="1:26" x14ac:dyDescent="0.35">
      <c r="A12">
        <v>0</v>
      </c>
      <c r="B12">
        <v>1</v>
      </c>
      <c r="C12">
        <v>0</v>
      </c>
      <c r="D12">
        <v>0</v>
      </c>
      <c r="E12">
        <v>0</v>
      </c>
      <c r="F12">
        <v>0</v>
      </c>
      <c r="G12">
        <v>1</v>
      </c>
      <c r="H12">
        <v>0</v>
      </c>
      <c r="I12">
        <v>1</v>
      </c>
      <c r="J12">
        <v>2</v>
      </c>
      <c r="K12">
        <v>0</v>
      </c>
      <c r="L12">
        <v>1</v>
      </c>
      <c r="M12">
        <v>0</v>
      </c>
      <c r="N12">
        <v>1</v>
      </c>
      <c r="O12">
        <v>1</v>
      </c>
      <c r="P12">
        <v>0</v>
      </c>
      <c r="Q12">
        <v>0</v>
      </c>
      <c r="R12">
        <v>1</v>
      </c>
      <c r="S12">
        <v>0</v>
      </c>
      <c r="T12">
        <v>224</v>
      </c>
    </row>
    <row r="13" spans="1:26" x14ac:dyDescent="0.35">
      <c r="A13">
        <v>0</v>
      </c>
      <c r="B13">
        <v>0</v>
      </c>
      <c r="C13">
        <v>1</v>
      </c>
      <c r="D13">
        <v>0</v>
      </c>
      <c r="E13">
        <v>0</v>
      </c>
      <c r="F13">
        <v>0</v>
      </c>
      <c r="G13">
        <v>0</v>
      </c>
      <c r="H13">
        <v>1</v>
      </c>
      <c r="I13">
        <v>1</v>
      </c>
      <c r="J13">
        <v>2</v>
      </c>
      <c r="K13">
        <v>2</v>
      </c>
      <c r="L13">
        <v>1</v>
      </c>
      <c r="M13">
        <v>0</v>
      </c>
      <c r="N13">
        <v>1</v>
      </c>
      <c r="O13">
        <v>1</v>
      </c>
      <c r="P13">
        <v>0</v>
      </c>
      <c r="Q13">
        <v>0</v>
      </c>
      <c r="R13">
        <v>1</v>
      </c>
      <c r="S13">
        <v>0</v>
      </c>
      <c r="T13">
        <v>220</v>
      </c>
      <c r="Y13" s="32" t="s">
        <v>5</v>
      </c>
      <c r="Z13" s="33" t="s">
        <v>39</v>
      </c>
    </row>
    <row r="14" spans="1:26" x14ac:dyDescent="0.35">
      <c r="A14">
        <v>0</v>
      </c>
      <c r="B14">
        <v>0</v>
      </c>
      <c r="C14">
        <v>1</v>
      </c>
      <c r="D14">
        <v>0</v>
      </c>
      <c r="E14">
        <v>1</v>
      </c>
      <c r="F14">
        <v>0</v>
      </c>
      <c r="G14">
        <v>0</v>
      </c>
      <c r="H14">
        <v>0</v>
      </c>
      <c r="I14">
        <v>2</v>
      </c>
      <c r="J14">
        <v>0</v>
      </c>
      <c r="K14">
        <v>0</v>
      </c>
      <c r="L14">
        <v>2</v>
      </c>
      <c r="M14">
        <v>1</v>
      </c>
      <c r="N14">
        <v>1</v>
      </c>
      <c r="O14">
        <v>1</v>
      </c>
      <c r="P14">
        <v>1</v>
      </c>
      <c r="Q14">
        <v>1</v>
      </c>
      <c r="R14">
        <v>0</v>
      </c>
      <c r="S14">
        <v>2</v>
      </c>
      <c r="T14">
        <v>233.8</v>
      </c>
      <c r="Y14" s="34" t="str">
        <f>I2</f>
        <v>Onion</v>
      </c>
      <c r="Z14" s="35">
        <f>SUM(I3:I10000)</f>
        <v>17</v>
      </c>
    </row>
    <row r="15" spans="1:26" x14ac:dyDescent="0.35">
      <c r="A15">
        <v>0</v>
      </c>
      <c r="B15">
        <v>1</v>
      </c>
      <c r="C15">
        <v>0</v>
      </c>
      <c r="D15">
        <v>0</v>
      </c>
      <c r="E15">
        <v>0</v>
      </c>
      <c r="F15">
        <v>1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1</v>
      </c>
      <c r="O15">
        <v>0</v>
      </c>
      <c r="P15">
        <v>0</v>
      </c>
      <c r="Q15">
        <v>0</v>
      </c>
      <c r="R15">
        <v>1</v>
      </c>
      <c r="S15">
        <v>1</v>
      </c>
      <c r="T15">
        <v>213</v>
      </c>
      <c r="Y15" s="34" t="str">
        <f>J2</f>
        <v>Cucumber</v>
      </c>
      <c r="Z15" s="35">
        <f>SUM(J3:J10000)</f>
        <v>18</v>
      </c>
    </row>
    <row r="16" spans="1:26" x14ac:dyDescent="0.35">
      <c r="A16">
        <v>0</v>
      </c>
      <c r="B16">
        <v>1</v>
      </c>
      <c r="C16">
        <v>0</v>
      </c>
      <c r="D16">
        <v>0</v>
      </c>
      <c r="E16">
        <v>0</v>
      </c>
      <c r="F16">
        <v>0</v>
      </c>
      <c r="G16">
        <v>1</v>
      </c>
      <c r="H16">
        <v>0</v>
      </c>
      <c r="I16">
        <v>1</v>
      </c>
      <c r="J16">
        <v>0</v>
      </c>
      <c r="K16">
        <v>0</v>
      </c>
      <c r="L16">
        <v>1</v>
      </c>
      <c r="M16">
        <v>0</v>
      </c>
      <c r="N16">
        <v>1</v>
      </c>
      <c r="O16">
        <v>0</v>
      </c>
      <c r="P16">
        <v>1</v>
      </c>
      <c r="Q16">
        <v>0</v>
      </c>
      <c r="R16">
        <v>1</v>
      </c>
      <c r="S16">
        <v>1</v>
      </c>
      <c r="T16">
        <v>231</v>
      </c>
      <c r="Y16" s="34" t="str">
        <f>K2</f>
        <v>Tomato</v>
      </c>
      <c r="Z16" s="35">
        <f>SUM(K3:K10000)</f>
        <v>11</v>
      </c>
    </row>
    <row r="17" spans="1:26" x14ac:dyDescent="0.35">
      <c r="A17">
        <v>0</v>
      </c>
      <c r="B17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1</v>
      </c>
      <c r="I17">
        <v>1</v>
      </c>
      <c r="J17">
        <v>0</v>
      </c>
      <c r="K17">
        <v>0</v>
      </c>
      <c r="L17">
        <v>1</v>
      </c>
      <c r="M17">
        <v>0</v>
      </c>
      <c r="N17">
        <v>1</v>
      </c>
      <c r="O17">
        <v>0</v>
      </c>
      <c r="P17">
        <v>1</v>
      </c>
      <c r="Q17">
        <v>0</v>
      </c>
      <c r="R17">
        <v>1</v>
      </c>
      <c r="S17">
        <v>1</v>
      </c>
      <c r="T17">
        <v>234</v>
      </c>
      <c r="Y17" s="34" t="str">
        <f>L2</f>
        <v>Lettuce</v>
      </c>
      <c r="Z17" s="35">
        <f>SUM(L3:L10000)</f>
        <v>17</v>
      </c>
    </row>
    <row r="18" spans="1:26" x14ac:dyDescent="0.35">
      <c r="A18">
        <v>0</v>
      </c>
      <c r="B18">
        <v>0</v>
      </c>
      <c r="C18">
        <v>1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216.3</v>
      </c>
      <c r="Y18" s="34" t="str">
        <f>M2</f>
        <v>Jalapeno</v>
      </c>
      <c r="Z18" s="35">
        <f>SUM(M3:M10000)</f>
        <v>13</v>
      </c>
    </row>
    <row r="19" spans="1:26" x14ac:dyDescent="0.35">
      <c r="A19">
        <v>0</v>
      </c>
      <c r="B19">
        <v>1</v>
      </c>
      <c r="C19">
        <v>0</v>
      </c>
      <c r="D19">
        <v>0</v>
      </c>
      <c r="E19">
        <v>1</v>
      </c>
      <c r="F19">
        <v>0</v>
      </c>
      <c r="G19">
        <v>0</v>
      </c>
      <c r="H19">
        <v>0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</v>
      </c>
      <c r="P19">
        <v>1</v>
      </c>
      <c r="Q19">
        <v>1</v>
      </c>
      <c r="R19">
        <v>2</v>
      </c>
      <c r="S19">
        <v>1</v>
      </c>
      <c r="T19">
        <v>249.3</v>
      </c>
      <c r="Y19" s="36" t="str">
        <f>N2</f>
        <v>Pickle</v>
      </c>
      <c r="Z19" s="37">
        <f>SUM(N3:N10000)</f>
        <v>16</v>
      </c>
    </row>
    <row r="21" spans="1:26" x14ac:dyDescent="0.35">
      <c r="Y21" s="32" t="s">
        <v>18</v>
      </c>
      <c r="Z21" s="33" t="s">
        <v>39</v>
      </c>
    </row>
    <row r="22" spans="1:26" x14ac:dyDescent="0.35">
      <c r="Y22" s="34" t="str">
        <f>O2</f>
        <v>Chipotle</v>
      </c>
      <c r="Z22" s="35">
        <f>SUM(O3:O10000)</f>
        <v>16</v>
      </c>
    </row>
    <row r="23" spans="1:26" x14ac:dyDescent="0.35">
      <c r="Y23" s="34" t="str">
        <f>P2</f>
        <v>Hot</v>
      </c>
      <c r="Z23" s="35">
        <f>SUM(P3:P10000)</f>
        <v>15</v>
      </c>
    </row>
    <row r="24" spans="1:26" x14ac:dyDescent="0.35">
      <c r="Y24" s="34" t="str">
        <f>Q2</f>
        <v>Mayonaise</v>
      </c>
      <c r="Z24" s="35">
        <f>SUM(Q3:Q10000)</f>
        <v>13</v>
      </c>
    </row>
    <row r="25" spans="1:26" x14ac:dyDescent="0.35">
      <c r="Y25" s="34" t="str">
        <f>R2</f>
        <v>Mustard</v>
      </c>
      <c r="Z25" s="35">
        <f>SUM(R3:R10000)</f>
        <v>19</v>
      </c>
    </row>
    <row r="26" spans="1:26" x14ac:dyDescent="0.35">
      <c r="Y26" s="36" t="str">
        <f>S2</f>
        <v>Barbeque</v>
      </c>
      <c r="Z26" s="37">
        <f>SUM(S3:S10000)</f>
        <v>14</v>
      </c>
    </row>
  </sheetData>
  <mergeCells count="5">
    <mergeCell ref="A1:C1"/>
    <mergeCell ref="D1:H1"/>
    <mergeCell ref="I1:N1"/>
    <mergeCell ref="O1:S1"/>
    <mergeCell ref="T1:T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rawCharts">
                <anchor moveWithCells="1" sizeWithCells="1">
                  <from>
                    <xdr:col>21</xdr:col>
                    <xdr:colOff>196850</xdr:colOff>
                    <xdr:row>12</xdr:row>
                    <xdr:rowOff>76200</xdr:rowOff>
                  </from>
                  <to>
                    <xdr:col>22</xdr:col>
                    <xdr:colOff>527050</xdr:colOff>
                    <xdr:row>14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Form</vt:lpstr>
      <vt:lpstr>CaloriesTable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Charles</dc:creator>
  <cp:lastModifiedBy>Monika Reddy Yempada</cp:lastModifiedBy>
  <dcterms:created xsi:type="dcterms:W3CDTF">2013-01-19T14:10:19Z</dcterms:created>
  <dcterms:modified xsi:type="dcterms:W3CDTF">2022-11-30T00:02:34Z</dcterms:modified>
</cp:coreProperties>
</file>